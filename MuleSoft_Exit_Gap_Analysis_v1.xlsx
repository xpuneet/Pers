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opu\Downloads\"/>
    </mc:Choice>
  </mc:AlternateContent>
  <xr:revisionPtr revIDLastSave="0" documentId="13_ncr:1_{9C0E074E-D00C-47F8-930F-DC2A51C327C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ummary" sheetId="1" r:id="rId1"/>
    <sheet name="Gap_Register" sheetId="2" r:id="rId2"/>
    <sheet name="Unmapped_Prod_Apps" sheetId="3" r:id="rId3"/>
    <sheet name="Replan_OOS_Validation" sheetId="4" r:id="rId4"/>
    <sheet name="Replan_Internal_Gaps" sheetId="5" r:id="rId5"/>
  </sheets>
  <definedNames>
    <definedName name="_xlnm._FilterDatabase" localSheetId="1" hidden="1">Gap_Register!$A$2:$K$54</definedName>
    <definedName name="_xlnm._FilterDatabase" localSheetId="2" hidden="1">Unmapped_Prod_Apps!$A$3:$F$15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<sst xmlns="http://schemas.openxmlformats.org/spreadsheetml/2006/main" count="513" uniqueCount="203">
  <si>
    <t>HEADLINE NUMBERS</t>
  </si>
  <si>
    <t>Metric</t>
  </si>
  <si>
    <t>Count</t>
  </si>
  <si>
    <t>Integrations reviewed (50 prod + 2 replan-only)</t>
  </si>
  <si>
    <t>Covered in replan (In Replan = Yes)</t>
  </si>
  <si>
    <t>NOT in replan (any disposition)</t>
  </si>
  <si>
    <t xml:space="preserve">  -&gt; TRUE GAPS (live in prod, not out-of-scope)</t>
  </si>
  <si>
    <t xml:space="preserve">  -&gt; OOS-tagged in prod but ACTIVE (no replan owner)</t>
  </si>
  <si>
    <t xml:space="preserve">  -&gt; OOS-tagged in prod (confirm + document in replan)</t>
  </si>
  <si>
    <t xml:space="preserve">  -&gt; Zero prod footprint (likely alias / dedupe)</t>
  </si>
  <si>
    <t>High priority (in Gap Register)</t>
  </si>
  <si>
    <t>Medium priority (in Gap Register)</t>
  </si>
  <si>
    <t>Unmapped live prod apps (see Unmapped_Prod_Apps)</t>
  </si>
  <si>
    <t>DISPOSITION LEGEND</t>
  </si>
  <si>
    <t>Disposition</t>
  </si>
  <si>
    <t>Meaning</t>
  </si>
  <si>
    <t>Typical priority</t>
  </si>
  <si>
    <t>TRUE GAP - live in prod, absent from replan</t>
  </si>
  <si>
    <t>Started app(s) and/or enabled scheduler(s), NOT flagged out-of-scope anywhere, and no matching replan line. Must be dispositioned into the plan now.</t>
  </si>
  <si>
    <t>High/Med</t>
  </si>
  <si>
    <t>Prod-tagged OOS but STILL ACTIVE</t>
  </si>
  <si>
    <t>Prod file marks it Out of Scope, yet it still has ENABLED schedulers running. Contradiction: confirm decommission owner &amp; date, or bring into plan.</t>
  </si>
  <si>
    <t>Med</t>
  </si>
  <si>
    <t>Prod-tagged Out of Scope</t>
  </si>
  <si>
    <t>Prod file marks Out of Scope; replan has no explicit line or confirmation trail. Add an explicit OOS row with sign-off for auditability.</t>
  </si>
  <si>
    <t>Low</t>
  </si>
  <si>
    <t>Zero prod footprint - alias/dedupe</t>
  </si>
  <si>
    <t>Exists only as a name in the integration map (0 started apps, 0 triggers). Likely an alias/duplicate of another integration or already decommissioned. Confirm &amp; dedupe.</t>
  </si>
  <si>
    <t>In replan</t>
  </si>
  <si>
    <t>Present in MS_exit_replan (in-scope or explicitly dispositioned). No action beyond existing plan.</t>
  </si>
  <si>
    <t>-</t>
  </si>
  <si>
    <t>Gap Register — every prod integration vs replan (sorted: High → Low)</t>
  </si>
  <si>
    <t>Integration</t>
  </si>
  <si>
    <t>In Replan?</t>
  </si>
  <si>
    <t>Replan Status</t>
  </si>
  <si>
    <t>Prod Started Apps</t>
  </si>
  <si>
    <t>Prod Undeployed Apps</t>
  </si>
  <si>
    <t>Enabled Triggers</t>
  </si>
  <si>
    <t>Disabled Triggers</t>
  </si>
  <si>
    <t>Prod File Comment</t>
  </si>
  <si>
    <t>Priority</t>
  </si>
  <si>
    <t>Recommended Action</t>
  </si>
  <si>
    <t>MUL-BACS-FILES</t>
  </si>
  <si>
    <t>No</t>
  </si>
  <si>
    <t>High</t>
  </si>
  <si>
    <t>Live in prod (1 started app(s), 0 enabled scheduler(s)) but NOT in the replan and NOT flagged out-of-scope. Add to MS_exit_replan (or confirm OOS with sign-off) and estimate/resource it.</t>
  </si>
  <si>
    <t>MUL-DATALAKE</t>
  </si>
  <si>
    <t>Covered elsewhere</t>
  </si>
  <si>
    <t>Live in prod (1 started app(s), 3 enabled scheduler(s)) but NOT in the replan and NOT flagged out-of-scope. Add to MS_exit_replan (or confirm OOS with sign-off) and estimate/resource it. Prod comment says partly covered under another integration — confirm scope overlap so it is not dropped.</t>
  </si>
  <si>
    <t>MUL-TRUECOMMERCE</t>
  </si>
  <si>
    <t>UAT pending</t>
  </si>
  <si>
    <t>Live in prod (3 started app(s), 6 enabled scheduler(s)) but NOT in the replan and NOT flagged out-of-scope. Add to MS_exit_replan (or confirm OOS with sign-off) and estimate/resource it. Prod comment flags UAT still pending.</t>
  </si>
  <si>
    <t>MUL-COLUMBUSFILES</t>
  </si>
  <si>
    <t>Medium</t>
  </si>
  <si>
    <t>Live in prod (2 started app(s), 0 enabled scheduler(s)) but NOT in the replan and NOT flagged out-of-scope. Add to MS_exit_replan (or confirm OOS with sign-off) and estimate/resource it. Prod comment flags UAT still pending.</t>
  </si>
  <si>
    <t>MUL-DISTRIBUTIONCENTRE</t>
  </si>
  <si>
    <t>MUL-ECOMM-PRODUCTFEED</t>
  </si>
  <si>
    <t>MUL-ERP-3RD-PARTY</t>
  </si>
  <si>
    <t>Out of Scope</t>
  </si>
  <si>
    <t>Prod marks OOS yet 1 scheduler(s) still ENABLED (2 started app(s)). Confirm who owns switch-off and target date; if it must run past Mule exit, pull into plan.</t>
  </si>
  <si>
    <t>MUL-ICERTIS</t>
  </si>
  <si>
    <t>Prod marks OOS yet 4 scheduler(s) still ENABLED (3 started app(s)). Confirm who owns switch-off and target date; if it must run past Mule exit, pull into plan.</t>
  </si>
  <si>
    <t>MUL-LABLEFILES</t>
  </si>
  <si>
    <t>MUL-MINSTER-NEW-ACCS</t>
  </si>
  <si>
    <t>Prod marks OOS yet 2 scheduler(s) still ENABLED (1 started app(s)). Confirm who owns switch-off and target date; if it must run past Mule exit, pull into plan.</t>
  </si>
  <si>
    <t>MUL-SUPPLIER-PO</t>
  </si>
  <si>
    <t>Live in prod (1 started app(s), 0 enabled scheduler(s)) but NOT in the replan and NOT flagged out-of-scope. Add to MS_exit_replan (or confirm OOS with sign-off) and estimate/resource it. Prod comment flags UAT still pending.</t>
  </si>
  <si>
    <t>MUL-SWISSPOST</t>
  </si>
  <si>
    <t>MUL-TIMBERDATABASE</t>
  </si>
  <si>
    <t>MUL-BRINGG</t>
  </si>
  <si>
    <t>Prod marks Out of Scope. Add an explicit OOS row to the replan with named sign-off (replan currently has no confirmation trail for this one).</t>
  </si>
  <si>
    <t>MUL-CHEVIN-TO-TRAKM8</t>
  </si>
  <si>
    <t>MUL-COLUMBUSDOCS</t>
  </si>
  <si>
    <t>No started apps or triggers — exists only as a label in the integration map. Likely an alias/duplicate of an in-scope integration or already decommissioned. Confirm and dedupe.</t>
  </si>
  <si>
    <t>MUL-CUSTOMER-EDI</t>
  </si>
  <si>
    <t>MUL-EXPERIAN</t>
  </si>
  <si>
    <t>MUL-HYBRIS-CUSTOMER-DOCS</t>
  </si>
  <si>
    <t>MUL-ICON-TIMBER-PO</t>
  </si>
  <si>
    <t>MUL-PHOCAS-CREDITCONTROL</t>
  </si>
  <si>
    <t>MUL-PHOCAS-DAILYDATA</t>
  </si>
  <si>
    <t>MUL-SUPPLIER-OCR</t>
  </si>
  <si>
    <t>MUL-FTP-DOWNLOADS</t>
  </si>
  <si>
    <t>Yes</t>
  </si>
  <si>
    <t>In-scope (active)</t>
  </si>
  <si>
    <t>No prod match found</t>
  </si>
  <si>
    <t>In replan with effort/resources assigned, but no prod integration or app matches this name. Reconcile the name to an actual prod app/integration (or confirm it is a new build).</t>
  </si>
  <si>
    <t>MUL-REDFLAG</t>
  </si>
  <si>
    <t>Mapped N/A in prod file</t>
  </si>
  <si>
    <t>In replan and running in prod as starkuk-live-redflag-sapi-v1, but that app is tagged N/A in the prod Integration column. Fix the prod mapping so it is not lost from inventory reports.</t>
  </si>
  <si>
    <t>MUL-ACCOUNT-VALIDATION</t>
  </si>
  <si>
    <t>Special: marked undeployed</t>
  </si>
  <si>
    <t>Covered by existing plan. No new action (see replan for stage status).</t>
  </si>
  <si>
    <t>MUL-BRANCHFINDER</t>
  </si>
  <si>
    <t>MUL-COLUMBUS-DOC-HYBRIS</t>
  </si>
  <si>
    <t>MUL-COLUMBUS-DOCUMENTS</t>
  </si>
  <si>
    <t>Special: Phase-1 / covered</t>
  </si>
  <si>
    <t>MUL-CONCUR</t>
  </si>
  <si>
    <t>MUL-CONSENT</t>
  </si>
  <si>
    <t>Special: OOS (confirmed)</t>
  </si>
  <si>
    <t>MUL-CONSOLIDATEDINVOICE</t>
  </si>
  <si>
    <t>MUL-CONSXREF</t>
  </si>
  <si>
    <t>MUL-CUSTORDERVALIDATION</t>
  </si>
  <si>
    <t>MUL-DIGITALASSET</t>
  </si>
  <si>
    <t>MUL-FLEETWAVE-ICON-COGNITO</t>
  </si>
  <si>
    <t>MUL-ICONACCOUNTS</t>
  </si>
  <si>
    <t>MUL-INBOUND-QUOTES</t>
  </si>
  <si>
    <t>MUL-INVENTORYAUTOMATION</t>
  </si>
  <si>
    <t>MUL-OKTA-SYNC</t>
  </si>
  <si>
    <t>Special: OPEN (to check)</t>
  </si>
  <si>
    <t>MUL-OPCARDS</t>
  </si>
  <si>
    <t>MUL-PRODUCT-CLASSIFICATION</t>
  </si>
  <si>
    <t>MUL-PRODUCT-FEED</t>
  </si>
  <si>
    <t>MUL-PRODUCTS</t>
  </si>
  <si>
    <t>MUL-PUNCHOUT</t>
  </si>
  <si>
    <t>MUL-SALES-PIPELINE</t>
  </si>
  <si>
    <t>MUL-SALESORDERS</t>
  </si>
  <si>
    <t>MUL-SMS-RELAY</t>
  </si>
  <si>
    <t>MUL-SWIFT6-TRANSPORT</t>
  </si>
  <si>
    <t>MUL-TIMBERSUPPLIERS</t>
  </si>
  <si>
    <t>MUL-TRIPDATA</t>
  </si>
  <si>
    <t>MUL-VANSTOCK-PURCHASEORDER</t>
  </si>
  <si>
    <t>These live prod apps have NO integration mapping, so they do not appear in the Gap_Register or the replan. The order-processing and OAuth items are the ones to act on first.</t>
  </si>
  <si>
    <t>MuleSoft App</t>
  </si>
  <si>
    <t>Prod Status</t>
  </si>
  <si>
    <t>Category</t>
  </si>
  <si>
    <t>sgbd-mule-oauth-provider</t>
  </si>
  <si>
    <t>Started</t>
  </si>
  <si>
    <t>Platform — security</t>
  </si>
  <si>
    <t>Shared OAuth provider. Appears as a dependency under API integrations being migrated (e.g. COLUMBUS-DOC-HYBRIS, ECOMM-PRODUCTFEED). Cross-cutting: must be re-platformed/replaced or every migrated API breaks. Add as an explicit dependency.</t>
  </si>
  <si>
    <t>starkuk-live-processing-order-papi-v2</t>
  </si>
  <si>
    <t>Business — order processing</t>
  </si>
  <si>
    <t>4 ENABLED schedulers (order create every 3 min, status every 15 min). Live order flow with NO integration mapping — invisible to any integration-level plan. Map it, then bring into replan or confirm replacement.</t>
  </si>
  <si>
    <t>sgbd-live-okta-contact-eapi-v1</t>
  </si>
  <si>
    <t>Business — Okta/contact</t>
  </si>
  <si>
    <t>Started, unmapped; relates to MUL-OKTA-SYNC (still OPEN in replan). Fold into the OKTA-SYNC decision.</t>
  </si>
  <si>
    <t>stark-live-stark-hr-azure-storage-sapi-v1</t>
  </si>
  <si>
    <t>Business — HR data</t>
  </si>
  <si>
    <t>Started HR-&gt;Azure storage flow, unmapped. Confirm owner and whether HR data movement is in Mule-exit scope.</t>
  </si>
  <si>
    <t>starkuk-live-order-papi-v2</t>
  </si>
  <si>
    <t>Business — order</t>
  </si>
  <si>
    <t>Started order API, unmapped. Confirm integration + exit scope.</t>
  </si>
  <si>
    <t>starkuk-live-pub-order-eapi-v2</t>
  </si>
  <si>
    <t>Started order API, unmapped. Confirm which integration it belongs to and whether it is in exit scope.</t>
  </si>
  <si>
    <t>starkuk-live-redflag-sapi-v1</t>
  </si>
  <si>
    <t>Business — RedFlag</t>
  </si>
  <si>
    <t>Belongs to MUL-REDFLAG (already in replan, Sl 22). Prod mapping shows N/A — fix the mapping so inventory reports stay complete.</t>
  </si>
  <si>
    <t>starkuk-live-anypoint-splunk-logforwarder</t>
  </si>
  <si>
    <t>Platform — logging</t>
  </si>
  <si>
    <t>Observability/log forwarding. Likely retired with the Mule platform; confirm logging continuity on Azure.</t>
  </si>
  <si>
    <t>starkuk-live-business-critical-vpn-v1</t>
  </si>
  <si>
    <t>Platform — network</t>
  </si>
  <si>
    <t>Network/VPN component. Confirm connectivity replacement in target state.</t>
  </si>
  <si>
    <t>starkuk-live-hx-to-dbm-poc-v1</t>
  </si>
  <si>
    <t>POC</t>
  </si>
  <si>
    <t>POC app. Confirm it can be decommissioned (not production-critical).</t>
  </si>
  <si>
    <t>starkuk-live-retarus-email-sapi-v1</t>
  </si>
  <si>
    <t>Platform — email relay</t>
  </si>
  <si>
    <t>Shared email relay. Confirm whether any migrated integration depends on it.</t>
  </si>
  <si>
    <t>starkuk-live-tm1-sapi-v1</t>
  </si>
  <si>
    <t>Undeployed</t>
  </si>
  <si>
    <t>Undeployed — no runtime footprint. Confirm removable.</t>
  </si>
  <si>
    <t>The replan explicitly dispositions these. Cross-check: are the "out of scope / undeployed" calls consistent with what is actually running in prod?</t>
  </si>
  <si>
    <t>Replan Label</t>
  </si>
  <si>
    <t>Confirmation trail (Assumptions tab)</t>
  </si>
  <si>
    <t>Prod Enabled Triggers</t>
  </si>
  <si>
    <t>Consistency</t>
  </si>
  <si>
    <t>SA Note</t>
  </si>
  <si>
    <t>MUL-ACCOUNT-VALIDATION (undeployed)</t>
  </si>
  <si>
    <t>(none recorded)</t>
  </si>
  <si>
    <t>CHECK</t>
  </si>
  <si>
    <t>Labelled "undeployed" but prod shows started apps live. Decision still OPEN (Seb to check with Tristan). Resolve before exit — either bring into plan or confirm decommission.</t>
  </si>
  <si>
    <t>MUL-OKTA-SYNC (to check with Tristan)</t>
  </si>
  <si>
    <t>Decision OPEN (Seb to check with Tristan) and 5 apps live in prod. Resolve scope; also folds in the unmapped okta-contact-eapi app.</t>
  </si>
  <si>
    <t>MUL-VANSTOCK-PURCHASEORDER (out of scope)</t>
  </si>
  <si>
    <t>Confirmed "not in use" (Kristian Bates) yet 3 apps show Started in prod. Reconcile: if truly unused, why started? Confirm safe to decommission.</t>
  </si>
  <si>
    <t>MUL-COLUMBUS-DOCUMENTS (Phase-1/No. 7)</t>
  </si>
  <si>
    <t>OK</t>
  </si>
  <si>
    <t>Partly Phase-1, partly under MUL-CONSOLIDATEDINVOICE. Consistent — verify the CONSOLIDATEDINVOICE line fully absorbs the remainder.</t>
  </si>
  <si>
    <t>MUL-CONSENT (out of scope)</t>
  </si>
  <si>
    <t>Confirmed out of scope by Emma. Still live in prod (incl. 1 enabled scheduler) — fine, just ensure decommission owned outside this exit.</t>
  </si>
  <si>
    <t>MUL-TRIPDATA (out of scope)</t>
  </si>
  <si>
    <t>Confirmed out of scope (James Allerton). Consistent.</t>
  </si>
  <si>
    <t>MUL-SWIFT6-TRANSPORT (out of scope)</t>
  </si>
  <si>
    <t>Confirmed out of scope (James Allerton). Note swift6 file flow also runs under transport-papi (FLEETWAVE) — ensure that piece is covered.</t>
  </si>
  <si>
    <t>Replan internal completeness &amp; live blockers (from the replan workbook itself)</t>
  </si>
  <si>
    <t>Not a prod-vs-replan gap, but items inside the replan that will move dates if unresolved. Surfaced so the "clear view" is complete.</t>
  </si>
  <si>
    <t>Item</t>
  </si>
  <si>
    <t>Detail</t>
  </si>
  <si>
    <t>DB target undecided for items 7–9</t>
  </si>
  <si>
    <t>ConsolidatedInvoice, Consxref, Concur cannot be deployed / QA cannot start until the target DB is confirmed (Rob/Lamaan/Shakeel). ~1 week at risk (Assumptions #5).</t>
  </si>
  <si>
    <t>Consumers not yet engaged</t>
  </si>
  <si>
    <t>Team (Seb &amp; Puneet) yet to talk to integration consumers about moving Mule-&gt;Azure and secure confirmation (Assumptions #3). Long-lead dependency.</t>
  </si>
  <si>
    <t>Live blocker: MUL-INVENTORYAUTOMATION (Relex-Icon)</t>
  </si>
  <si>
    <t>Awaiting Relex-side IP whitelisting and sandbox credentials (Katie James / Andy). Cannot test until resolved (Challenges log, 17/18-Sep, Open-WIP).</t>
  </si>
  <si>
    <t>UAT effort not yet estimated</t>
  </si>
  <si>
    <t>13 of 23 in-scope interfaces still show "?" for UAT effort. UAT tester names/estimates are guesstimates (Assumptions #1, #2). Firm these up or the back end of the plan is unreliable.</t>
  </si>
  <si>
    <t>Shared developer capacity</t>
  </si>
  <si>
    <t>Shakeel not 100% allocated; BAU takes priority, risking occasional slippage on his items (Assumptions #4).</t>
  </si>
  <si>
    <t>Live blocker: MUL-CustomerValidation</t>
  </si>
  <si>
    <t>Icon connection issue + WSDL differences → +2 days dev added; shifts subsequent Shakeel tasks (Challenges log, 17-Sep, Open-WIP).</t>
  </si>
  <si>
    <t>MuleSoft Exit-Replan vs Prod Inventory: Gap Analysis</t>
  </si>
  <si>
    <t>Unmapped Prod Apps (Integration = N/A) invisible to integration-level planning</t>
  </si>
  <si>
    <t>Replan Out-of-Scope / Special items - validated against prod reality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</si>
</sst>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CCCC"/>
        <bgColor rgb="FFD9EAD3"/>
      </patternFill>
    </fill>
    <fill>
      <patternFill patternType="solid">
        <fgColor rgb="FFFFF2CC"/>
        <bgColor rgb="FFEFEFEF"/>
      </patternFill>
    </fill>
    <fill>
      <patternFill patternType="solid">
        <fgColor rgb="FFEFEFEF"/>
        <bgColor rgb="FFFFF2CC"/>
      </patternFill>
    </fill>
    <fill>
      <patternFill patternType="solid">
        <fgColor rgb="FFD9EAD3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zoomScaleNormal="100" workbookViewId="0">
      <selection activeCell="B12" sqref="B12"/>
    </sheetView>
  </sheetViews>
  <sheetFormatPr defaultColWidth="8.6640625" defaultRowHeight="14.4" x14ac:dyDescent="0.3"/>
  <cols>
    <col min="1" max="1" width="68.6640625" bestFit="1" customWidth="1"/>
    <col min="2" max="2" width="70" customWidth="1"/>
    <col min="3" max="3" width="16" customWidth="1"/>
    <col min="4" max="8" width="12" customWidth="1"/>
  </cols>
  <sheetData>
    <row r="1" spans="1:2" ht="17.399999999999999" x14ac:dyDescent="0.3">
      <c r="A1" s="3" t="s">
        <v>200</v>
      </c>
    </row>
    <row r="3" spans="1:2" x14ac:dyDescent="0.3">
      <c r="A3" s="4" t="s">
        <v>0</v>
      </c>
    </row>
    <row r="4" spans="1:2" x14ac:dyDescent="0.3">
      <c r="A4" s="5" t="s">
        <v>1</v>
      </c>
      <c r="B4" s="5" t="s">
        <v>2</v>
      </c>
    </row>
    <row r="5" spans="1:2" x14ac:dyDescent="0.3">
      <c r="A5" s="6" t="s">
        <v>3</v>
      </c>
      <c r="B5" s="7">
        <f>COUNTA(Gap_Register!A3:A1000)</f>
        <v>52</v>
      </c>
    </row>
    <row r="6" spans="1:2" x14ac:dyDescent="0.3">
      <c r="A6" s="6" t="s">
        <v>4</v>
      </c>
      <c r="B6" s="7">
        <f>COUNTIF(Gap_Register!B3:B1000,"Yes")</f>
        <v>29</v>
      </c>
    </row>
    <row r="7" spans="1:2" x14ac:dyDescent="0.3">
      <c r="A7" s="8" t="s">
        <v>5</v>
      </c>
      <c r="B7" s="7">
        <f>COUNTIF(Gap_Register!B3:B1000,"No")</f>
        <v>23</v>
      </c>
    </row>
    <row r="8" spans="1:2" x14ac:dyDescent="0.3">
      <c r="A8" s="9" t="s">
        <v>6</v>
      </c>
      <c r="B8" s="10">
        <f>COUNTIF(Gap_Register!I3:I1000,"TRUE GAP - live in prod, absent from replan")</f>
        <v>10</v>
      </c>
    </row>
    <row r="9" spans="1:2" x14ac:dyDescent="0.3">
      <c r="A9" s="11" t="s">
        <v>7</v>
      </c>
      <c r="B9" s="12">
        <f>COUNTIF(Gap_Register!I3:I1000,"Prod-tagged OOS but STILL ACTIVE")</f>
        <v>3</v>
      </c>
    </row>
    <row r="10" spans="1:2" x14ac:dyDescent="0.3">
      <c r="A10" s="6" t="s">
        <v>8</v>
      </c>
      <c r="B10" s="7">
        <f>COUNTIF(Gap_Register!I3:I1000,"Prod-tagged Out of Scope")</f>
        <v>5</v>
      </c>
    </row>
    <row r="11" spans="1:2" x14ac:dyDescent="0.3">
      <c r="A11" s="6" t="s">
        <v>9</v>
      </c>
      <c r="B11" s="7">
        <f>COUNTIF(Gap_Register!I3:I1000,"Zero prod footprint - alias/dedupe")</f>
        <v>5</v>
      </c>
    </row>
    <row r="12" spans="1:2" x14ac:dyDescent="0.3">
      <c r="A12" s="6" t="s">
        <v>10</v>
      </c>
      <c r="B12" s="7">
        <f>COUNTIF(Gap_Register!J3:J1000,"High")</f>
        <v>3</v>
      </c>
    </row>
    <row r="13" spans="1:2" x14ac:dyDescent="0.3">
      <c r="A13" s="6" t="s">
        <v>11</v>
      </c>
      <c r="B13" s="7">
        <f>COUNTIF(Gap_Register!J3:J1000,"Medium")</f>
        <v>12</v>
      </c>
    </row>
    <row r="14" spans="1:2" x14ac:dyDescent="0.3">
      <c r="A14" s="6" t="s">
        <v>12</v>
      </c>
      <c r="B14" s="7">
        <f>COUNTA(Unmapped_Prod_Apps!A3:A1000)</f>
        <v>13</v>
      </c>
    </row>
    <row r="16" spans="1:2" x14ac:dyDescent="0.3">
      <c r="A16" s="4" t="s">
        <v>13</v>
      </c>
    </row>
    <row r="17" spans="1:3" x14ac:dyDescent="0.3">
      <c r="A17" s="5" t="s">
        <v>14</v>
      </c>
      <c r="B17" s="5" t="s">
        <v>15</v>
      </c>
      <c r="C17" s="5" t="s">
        <v>16</v>
      </c>
    </row>
    <row r="18" spans="1:3" ht="22.8" x14ac:dyDescent="0.3">
      <c r="A18" s="13" t="s">
        <v>17</v>
      </c>
      <c r="B18" s="14" t="s">
        <v>18</v>
      </c>
      <c r="C18" s="14" t="s">
        <v>19</v>
      </c>
    </row>
    <row r="19" spans="1:3" ht="22.8" x14ac:dyDescent="0.3">
      <c r="A19" s="13" t="s">
        <v>20</v>
      </c>
      <c r="B19" s="14" t="s">
        <v>21</v>
      </c>
      <c r="C19" s="14" t="s">
        <v>22</v>
      </c>
    </row>
    <row r="20" spans="1:3" ht="22.8" x14ac:dyDescent="0.3">
      <c r="A20" s="13" t="s">
        <v>23</v>
      </c>
      <c r="B20" s="14" t="s">
        <v>24</v>
      </c>
      <c r="C20" s="14" t="s">
        <v>25</v>
      </c>
    </row>
    <row r="21" spans="1:3" ht="22.8" x14ac:dyDescent="0.3">
      <c r="A21" s="13" t="s">
        <v>26</v>
      </c>
      <c r="B21" s="14" t="s">
        <v>27</v>
      </c>
      <c r="C21" s="14" t="s">
        <v>25</v>
      </c>
    </row>
    <row r="22" spans="1:3" ht="22.8" x14ac:dyDescent="0.3">
      <c r="A22" s="13" t="s">
        <v>28</v>
      </c>
      <c r="B22" s="14" t="s">
        <v>29</v>
      </c>
      <c r="C22" s="14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"/>
  <sheetViews>
    <sheetView tabSelected="1" zoomScale="85" zoomScaleNormal="85" workbookViewId="0">
      <pane ySplit="2" topLeftCell="A3" activePane="bottomLeft" state="frozen"/>
      <selection pane="bottomLeft" activeCell="A25" sqref="A25:XFD27"/>
    </sheetView>
  </sheetViews>
  <sheetFormatPr defaultColWidth="8.6640625" defaultRowHeight="14.4" x14ac:dyDescent="0.3"/>
  <cols>
    <col min="1" max="1" width="26" customWidth="1"/>
    <col min="2" max="2" width="13.77734375" customWidth="1"/>
    <col min="3" max="3" width="20" customWidth="1"/>
    <col min="4" max="4" width="13.44140625" customWidth="1"/>
    <col min="5" max="5" width="16.33203125" customWidth="1"/>
    <col min="6" max="7" width="9" customWidth="1"/>
    <col min="8" max="8" width="20" customWidth="1"/>
    <col min="9" max="9" width="34" customWidth="1"/>
    <col min="10" max="10" width="9" customWidth="1"/>
    <col min="11" max="11" width="64" customWidth="1"/>
  </cols>
  <sheetData>
    <row r="1" spans="1:11" ht="17.399999999999999" x14ac:dyDescent="0.3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52.8" x14ac:dyDescent="0.3">
      <c r="A2" s="15" t="s">
        <v>32</v>
      </c>
      <c r="B2" s="15" t="s">
        <v>33</v>
      </c>
      <c r="C2" s="15" t="s">
        <v>34</v>
      </c>
      <c r="D2" s="15" t="s">
        <v>35</v>
      </c>
      <c r="E2" s="15" t="s">
        <v>36</v>
      </c>
      <c r="F2" s="15" t="s">
        <v>37</v>
      </c>
      <c r="G2" s="15" t="s">
        <v>38</v>
      </c>
      <c r="H2" s="15" t="s">
        <v>39</v>
      </c>
      <c r="I2" s="15" t="s">
        <v>14</v>
      </c>
      <c r="J2" s="15" t="s">
        <v>40</v>
      </c>
      <c r="K2" s="15" t="s">
        <v>41</v>
      </c>
    </row>
    <row r="3" spans="1:11" ht="42" customHeight="1" x14ac:dyDescent="0.3">
      <c r="A3" s="16" t="s">
        <v>42</v>
      </c>
      <c r="B3" s="17" t="s">
        <v>43</v>
      </c>
      <c r="C3" s="14" t="s">
        <v>30</v>
      </c>
      <c r="D3" s="17">
        <v>1</v>
      </c>
      <c r="E3" s="17">
        <v>0</v>
      </c>
      <c r="F3" s="17">
        <v>0</v>
      </c>
      <c r="G3" s="17">
        <v>4</v>
      </c>
      <c r="H3" s="14"/>
      <c r="I3" s="18" t="s">
        <v>17</v>
      </c>
      <c r="J3" s="19" t="s">
        <v>44</v>
      </c>
      <c r="K3" s="14" t="s">
        <v>45</v>
      </c>
    </row>
    <row r="4" spans="1:11" ht="42" customHeight="1" x14ac:dyDescent="0.3">
      <c r="A4" s="16" t="s">
        <v>46</v>
      </c>
      <c r="B4" s="17" t="s">
        <v>43</v>
      </c>
      <c r="C4" s="14" t="s">
        <v>30</v>
      </c>
      <c r="D4" s="17">
        <v>1</v>
      </c>
      <c r="E4" s="17">
        <v>1</v>
      </c>
      <c r="F4" s="17">
        <v>3</v>
      </c>
      <c r="G4" s="17">
        <v>8</v>
      </c>
      <c r="H4" s="14" t="s">
        <v>47</v>
      </c>
      <c r="I4" s="18" t="s">
        <v>17</v>
      </c>
      <c r="J4" s="19" t="s">
        <v>44</v>
      </c>
      <c r="K4" s="14" t="s">
        <v>48</v>
      </c>
    </row>
    <row r="5" spans="1:11" ht="42" customHeight="1" x14ac:dyDescent="0.3">
      <c r="A5" s="16" t="s">
        <v>49</v>
      </c>
      <c r="B5" s="17" t="s">
        <v>43</v>
      </c>
      <c r="C5" s="14" t="s">
        <v>30</v>
      </c>
      <c r="D5" s="17">
        <v>3</v>
      </c>
      <c r="E5" s="17">
        <v>0</v>
      </c>
      <c r="F5" s="17">
        <v>6</v>
      </c>
      <c r="G5" s="17">
        <v>10</v>
      </c>
      <c r="H5" s="14" t="s">
        <v>50</v>
      </c>
      <c r="I5" s="18" t="s">
        <v>17</v>
      </c>
      <c r="J5" s="19" t="s">
        <v>44</v>
      </c>
      <c r="K5" s="14" t="s">
        <v>51</v>
      </c>
    </row>
    <row r="6" spans="1:11" ht="42" customHeight="1" x14ac:dyDescent="0.3">
      <c r="A6" s="16" t="s">
        <v>52</v>
      </c>
      <c r="B6" s="17" t="s">
        <v>43</v>
      </c>
      <c r="C6" s="14" t="s">
        <v>30</v>
      </c>
      <c r="D6" s="17">
        <v>2</v>
      </c>
      <c r="E6" s="17">
        <v>0</v>
      </c>
      <c r="F6" s="17">
        <v>0</v>
      </c>
      <c r="G6" s="17">
        <v>0</v>
      </c>
      <c r="H6" s="14" t="s">
        <v>50</v>
      </c>
      <c r="I6" s="18" t="s">
        <v>17</v>
      </c>
      <c r="J6" s="20" t="s">
        <v>53</v>
      </c>
      <c r="K6" s="14" t="s">
        <v>54</v>
      </c>
    </row>
    <row r="7" spans="1:11" ht="42" customHeight="1" x14ac:dyDescent="0.3">
      <c r="A7" s="16" t="s">
        <v>55</v>
      </c>
      <c r="B7" s="17" t="s">
        <v>43</v>
      </c>
      <c r="C7" s="14" t="s">
        <v>30</v>
      </c>
      <c r="D7" s="17">
        <v>1</v>
      </c>
      <c r="E7" s="17">
        <v>0</v>
      </c>
      <c r="F7" s="17">
        <v>0</v>
      </c>
      <c r="G7" s="17">
        <v>0</v>
      </c>
      <c r="H7" s="14"/>
      <c r="I7" s="18" t="s">
        <v>17</v>
      </c>
      <c r="J7" s="20" t="s">
        <v>53</v>
      </c>
      <c r="K7" s="14" t="s">
        <v>45</v>
      </c>
    </row>
    <row r="8" spans="1:11" ht="42" customHeight="1" x14ac:dyDescent="0.3">
      <c r="A8" s="16" t="s">
        <v>56</v>
      </c>
      <c r="B8" s="17" t="s">
        <v>43</v>
      </c>
      <c r="C8" s="14" t="s">
        <v>30</v>
      </c>
      <c r="D8" s="17">
        <v>1</v>
      </c>
      <c r="E8" s="17">
        <v>0</v>
      </c>
      <c r="F8" s="17">
        <v>0</v>
      </c>
      <c r="G8" s="17">
        <v>0</v>
      </c>
      <c r="H8" s="14"/>
      <c r="I8" s="18" t="s">
        <v>17</v>
      </c>
      <c r="J8" s="20" t="s">
        <v>53</v>
      </c>
      <c r="K8" s="14" t="s">
        <v>45</v>
      </c>
    </row>
    <row r="9" spans="1:11" ht="42" customHeight="1" x14ac:dyDescent="0.3">
      <c r="A9" s="16" t="s">
        <v>57</v>
      </c>
      <c r="B9" s="17" t="s">
        <v>43</v>
      </c>
      <c r="C9" s="14" t="s">
        <v>30</v>
      </c>
      <c r="D9" s="17">
        <v>2</v>
      </c>
      <c r="E9" s="17">
        <v>0</v>
      </c>
      <c r="F9" s="17">
        <v>1</v>
      </c>
      <c r="G9" s="17">
        <v>16</v>
      </c>
      <c r="H9" s="14" t="s">
        <v>58</v>
      </c>
      <c r="I9" s="21" t="s">
        <v>20</v>
      </c>
      <c r="J9" s="20" t="s">
        <v>53</v>
      </c>
      <c r="K9" s="14" t="s">
        <v>59</v>
      </c>
    </row>
    <row r="10" spans="1:11" ht="42" customHeight="1" x14ac:dyDescent="0.3">
      <c r="A10" s="16" t="s">
        <v>60</v>
      </c>
      <c r="B10" s="17" t="s">
        <v>43</v>
      </c>
      <c r="C10" s="14" t="s">
        <v>30</v>
      </c>
      <c r="D10" s="17">
        <v>3</v>
      </c>
      <c r="E10" s="17">
        <v>0</v>
      </c>
      <c r="F10" s="17">
        <v>4</v>
      </c>
      <c r="G10" s="17">
        <v>13</v>
      </c>
      <c r="H10" s="14" t="s">
        <v>58</v>
      </c>
      <c r="I10" s="21" t="s">
        <v>20</v>
      </c>
      <c r="J10" s="20" t="s">
        <v>53</v>
      </c>
      <c r="K10" s="14" t="s">
        <v>61</v>
      </c>
    </row>
    <row r="11" spans="1:11" ht="42" customHeight="1" x14ac:dyDescent="0.3">
      <c r="A11" s="16" t="s">
        <v>62</v>
      </c>
      <c r="B11" s="17" t="s">
        <v>43</v>
      </c>
      <c r="C11" s="14" t="s">
        <v>30</v>
      </c>
      <c r="D11" s="17">
        <v>1</v>
      </c>
      <c r="E11" s="17">
        <v>0</v>
      </c>
      <c r="F11" s="17">
        <v>0</v>
      </c>
      <c r="G11" s="17">
        <v>0</v>
      </c>
      <c r="H11" s="14"/>
      <c r="I11" s="18" t="s">
        <v>17</v>
      </c>
      <c r="J11" s="20" t="s">
        <v>53</v>
      </c>
      <c r="K11" s="14" t="s">
        <v>45</v>
      </c>
    </row>
    <row r="12" spans="1:11" ht="42" customHeight="1" x14ac:dyDescent="0.3">
      <c r="A12" s="16" t="s">
        <v>63</v>
      </c>
      <c r="B12" s="17" t="s">
        <v>43</v>
      </c>
      <c r="C12" s="14" t="s">
        <v>30</v>
      </c>
      <c r="D12" s="17">
        <v>1</v>
      </c>
      <c r="E12" s="17">
        <v>0</v>
      </c>
      <c r="F12" s="17">
        <v>2</v>
      </c>
      <c r="G12" s="17">
        <v>0</v>
      </c>
      <c r="H12" s="14" t="s">
        <v>58</v>
      </c>
      <c r="I12" s="21" t="s">
        <v>20</v>
      </c>
      <c r="J12" s="20" t="s">
        <v>53</v>
      </c>
      <c r="K12" s="14" t="s">
        <v>64</v>
      </c>
    </row>
    <row r="13" spans="1:11" ht="42" customHeight="1" x14ac:dyDescent="0.3">
      <c r="A13" s="16" t="s">
        <v>65</v>
      </c>
      <c r="B13" s="17" t="s">
        <v>43</v>
      </c>
      <c r="C13" s="14" t="s">
        <v>30</v>
      </c>
      <c r="D13" s="17">
        <v>1</v>
      </c>
      <c r="E13" s="17">
        <v>0</v>
      </c>
      <c r="F13" s="17">
        <v>0</v>
      </c>
      <c r="G13" s="17">
        <v>0</v>
      </c>
      <c r="H13" s="14" t="s">
        <v>50</v>
      </c>
      <c r="I13" s="18" t="s">
        <v>17</v>
      </c>
      <c r="J13" s="20" t="s">
        <v>53</v>
      </c>
      <c r="K13" s="14" t="s">
        <v>66</v>
      </c>
    </row>
    <row r="14" spans="1:11" ht="42" customHeight="1" x14ac:dyDescent="0.3">
      <c r="A14" s="16" t="s">
        <v>67</v>
      </c>
      <c r="B14" s="17" t="s">
        <v>43</v>
      </c>
      <c r="C14" s="14" t="s">
        <v>30</v>
      </c>
      <c r="D14" s="17">
        <v>1</v>
      </c>
      <c r="E14" s="17">
        <v>0</v>
      </c>
      <c r="F14" s="17">
        <v>0</v>
      </c>
      <c r="G14" s="17">
        <v>0</v>
      </c>
      <c r="H14" s="14"/>
      <c r="I14" s="18" t="s">
        <v>17</v>
      </c>
      <c r="J14" s="20" t="s">
        <v>53</v>
      </c>
      <c r="K14" s="14" t="s">
        <v>45</v>
      </c>
    </row>
    <row r="15" spans="1:11" ht="42" customHeight="1" x14ac:dyDescent="0.3">
      <c r="A15" s="16" t="s">
        <v>68</v>
      </c>
      <c r="B15" s="17" t="s">
        <v>43</v>
      </c>
      <c r="C15" s="14" t="s">
        <v>30</v>
      </c>
      <c r="D15" s="17">
        <v>2</v>
      </c>
      <c r="E15" s="17">
        <v>0</v>
      </c>
      <c r="F15" s="17">
        <v>0</v>
      </c>
      <c r="G15" s="17">
        <v>3</v>
      </c>
      <c r="H15" s="14" t="s">
        <v>50</v>
      </c>
      <c r="I15" s="18" t="s">
        <v>17</v>
      </c>
      <c r="J15" s="20" t="s">
        <v>53</v>
      </c>
      <c r="K15" s="14" t="s">
        <v>54</v>
      </c>
    </row>
    <row r="16" spans="1:11" ht="42" customHeight="1" x14ac:dyDescent="0.3">
      <c r="A16" s="16" t="s">
        <v>69</v>
      </c>
      <c r="B16" s="17" t="s">
        <v>43</v>
      </c>
      <c r="C16" s="14" t="s">
        <v>30</v>
      </c>
      <c r="D16" s="17">
        <v>0</v>
      </c>
      <c r="E16" s="17">
        <v>0</v>
      </c>
      <c r="F16" s="17">
        <v>0</v>
      </c>
      <c r="G16" s="17">
        <v>0</v>
      </c>
      <c r="H16" s="14" t="s">
        <v>58</v>
      </c>
      <c r="I16" s="22" t="s">
        <v>23</v>
      </c>
      <c r="J16" s="23" t="s">
        <v>25</v>
      </c>
      <c r="K16" s="14" t="s">
        <v>70</v>
      </c>
    </row>
    <row r="17" spans="1:11" ht="42" customHeight="1" x14ac:dyDescent="0.3">
      <c r="A17" s="16" t="s">
        <v>71</v>
      </c>
      <c r="B17" s="17" t="s">
        <v>43</v>
      </c>
      <c r="C17" s="14" t="s">
        <v>30</v>
      </c>
      <c r="D17" s="17">
        <v>1</v>
      </c>
      <c r="E17" s="17">
        <v>0</v>
      </c>
      <c r="F17" s="17">
        <v>0</v>
      </c>
      <c r="G17" s="17">
        <v>0</v>
      </c>
      <c r="H17" s="14" t="s">
        <v>58</v>
      </c>
      <c r="I17" s="22" t="s">
        <v>23</v>
      </c>
      <c r="J17" s="23" t="s">
        <v>25</v>
      </c>
      <c r="K17" s="14" t="s">
        <v>70</v>
      </c>
    </row>
    <row r="18" spans="1:11" ht="42" customHeight="1" x14ac:dyDescent="0.3">
      <c r="A18" s="16" t="s">
        <v>72</v>
      </c>
      <c r="B18" s="17" t="s">
        <v>43</v>
      </c>
      <c r="C18" s="14" t="s">
        <v>30</v>
      </c>
      <c r="D18" s="17">
        <v>0</v>
      </c>
      <c r="E18" s="17">
        <v>0</v>
      </c>
      <c r="F18" s="17">
        <v>0</v>
      </c>
      <c r="G18" s="17">
        <v>0</v>
      </c>
      <c r="H18" s="14"/>
      <c r="I18" s="22" t="s">
        <v>26</v>
      </c>
      <c r="J18" s="23" t="s">
        <v>25</v>
      </c>
      <c r="K18" s="14" t="s">
        <v>73</v>
      </c>
    </row>
    <row r="19" spans="1:11" ht="42" customHeight="1" x14ac:dyDescent="0.3">
      <c r="A19" s="16" t="s">
        <v>74</v>
      </c>
      <c r="B19" s="17" t="s">
        <v>43</v>
      </c>
      <c r="C19" s="14" t="s">
        <v>30</v>
      </c>
      <c r="D19" s="17">
        <v>0</v>
      </c>
      <c r="E19" s="17">
        <v>0</v>
      </c>
      <c r="F19" s="17">
        <v>0</v>
      </c>
      <c r="G19" s="17">
        <v>0</v>
      </c>
      <c r="H19" s="14"/>
      <c r="I19" s="22" t="s">
        <v>26</v>
      </c>
      <c r="J19" s="23" t="s">
        <v>25</v>
      </c>
      <c r="K19" s="14" t="s">
        <v>73</v>
      </c>
    </row>
    <row r="20" spans="1:11" ht="42" customHeight="1" x14ac:dyDescent="0.3">
      <c r="A20" s="16" t="s">
        <v>75</v>
      </c>
      <c r="B20" s="17" t="s">
        <v>43</v>
      </c>
      <c r="C20" s="14" t="s">
        <v>30</v>
      </c>
      <c r="D20" s="17">
        <v>0</v>
      </c>
      <c r="E20" s="17">
        <v>0</v>
      </c>
      <c r="F20" s="17">
        <v>0</v>
      </c>
      <c r="G20" s="17">
        <v>0</v>
      </c>
      <c r="H20" s="14" t="s">
        <v>58</v>
      </c>
      <c r="I20" s="22" t="s">
        <v>23</v>
      </c>
      <c r="J20" s="23" t="s">
        <v>25</v>
      </c>
      <c r="K20" s="14" t="s">
        <v>70</v>
      </c>
    </row>
    <row r="21" spans="1:11" ht="42" customHeight="1" x14ac:dyDescent="0.3">
      <c r="A21" s="16" t="s">
        <v>76</v>
      </c>
      <c r="B21" s="17" t="s">
        <v>43</v>
      </c>
      <c r="C21" s="14" t="s">
        <v>30</v>
      </c>
      <c r="D21" s="17">
        <v>0</v>
      </c>
      <c r="E21" s="17">
        <v>0</v>
      </c>
      <c r="F21" s="17">
        <v>0</v>
      </c>
      <c r="G21" s="17">
        <v>0</v>
      </c>
      <c r="H21" s="14" t="s">
        <v>58</v>
      </c>
      <c r="I21" s="22" t="s">
        <v>23</v>
      </c>
      <c r="J21" s="23" t="s">
        <v>25</v>
      </c>
      <c r="K21" s="14" t="s">
        <v>70</v>
      </c>
    </row>
    <row r="22" spans="1:11" ht="42" customHeight="1" x14ac:dyDescent="0.3">
      <c r="A22" s="16" t="s">
        <v>77</v>
      </c>
      <c r="B22" s="17" t="s">
        <v>43</v>
      </c>
      <c r="C22" s="14" t="s">
        <v>30</v>
      </c>
      <c r="D22" s="17">
        <v>0</v>
      </c>
      <c r="E22" s="17">
        <v>0</v>
      </c>
      <c r="F22" s="17">
        <v>0</v>
      </c>
      <c r="G22" s="17">
        <v>0</v>
      </c>
      <c r="H22" s="14"/>
      <c r="I22" s="22" t="s">
        <v>26</v>
      </c>
      <c r="J22" s="23" t="s">
        <v>25</v>
      </c>
      <c r="K22" s="14" t="s">
        <v>73</v>
      </c>
    </row>
    <row r="23" spans="1:11" ht="42" customHeight="1" x14ac:dyDescent="0.3">
      <c r="A23" s="16" t="s">
        <v>78</v>
      </c>
      <c r="B23" s="17" t="s">
        <v>43</v>
      </c>
      <c r="C23" s="14" t="s">
        <v>30</v>
      </c>
      <c r="D23" s="17">
        <v>0</v>
      </c>
      <c r="E23" s="17">
        <v>0</v>
      </c>
      <c r="F23" s="17">
        <v>0</v>
      </c>
      <c r="G23" s="17">
        <v>0</v>
      </c>
      <c r="H23" s="14"/>
      <c r="I23" s="22" t="s">
        <v>26</v>
      </c>
      <c r="J23" s="23" t="s">
        <v>25</v>
      </c>
      <c r="K23" s="14" t="s">
        <v>73</v>
      </c>
    </row>
    <row r="24" spans="1:11" ht="42" customHeight="1" x14ac:dyDescent="0.3">
      <c r="A24" s="16" t="s">
        <v>79</v>
      </c>
      <c r="B24" s="17" t="s">
        <v>43</v>
      </c>
      <c r="C24" s="14" t="s">
        <v>30</v>
      </c>
      <c r="D24" s="17">
        <v>0</v>
      </c>
      <c r="E24" s="17">
        <v>0</v>
      </c>
      <c r="F24" s="17">
        <v>0</v>
      </c>
      <c r="G24" s="17">
        <v>0</v>
      </c>
      <c r="H24" s="14"/>
      <c r="I24" s="22" t="s">
        <v>26</v>
      </c>
      <c r="J24" s="23" t="s">
        <v>25</v>
      </c>
      <c r="K24" s="14" t="s">
        <v>73</v>
      </c>
    </row>
    <row r="25" spans="1:11" ht="42" customHeight="1" x14ac:dyDescent="0.3">
      <c r="A25" s="16" t="s">
        <v>80</v>
      </c>
      <c r="B25" s="17" t="s">
        <v>43</v>
      </c>
      <c r="C25" s="14" t="s">
        <v>30</v>
      </c>
      <c r="D25" s="17">
        <v>2</v>
      </c>
      <c r="E25" s="17">
        <v>0</v>
      </c>
      <c r="F25" s="17">
        <v>0</v>
      </c>
      <c r="G25" s="17">
        <v>1</v>
      </c>
      <c r="H25" s="14" t="s">
        <v>58</v>
      </c>
      <c r="I25" s="22" t="s">
        <v>23</v>
      </c>
      <c r="J25" s="23" t="s">
        <v>25</v>
      </c>
      <c r="K25" s="14" t="s">
        <v>70</v>
      </c>
    </row>
    <row r="26" spans="1:11" ht="42" customHeight="1" x14ac:dyDescent="0.3">
      <c r="A26" s="16" t="s">
        <v>81</v>
      </c>
      <c r="B26" s="17" t="s">
        <v>82</v>
      </c>
      <c r="C26" s="14" t="s">
        <v>83</v>
      </c>
      <c r="D26" s="17">
        <v>0</v>
      </c>
      <c r="E26" s="17">
        <v>0</v>
      </c>
      <c r="F26" s="17">
        <v>0</v>
      </c>
      <c r="G26" s="17">
        <v>0</v>
      </c>
      <c r="H26" s="14" t="s">
        <v>84</v>
      </c>
      <c r="I26" s="24" t="s">
        <v>28</v>
      </c>
      <c r="J26" s="20" t="s">
        <v>53</v>
      </c>
      <c r="K26" s="14" t="s">
        <v>85</v>
      </c>
    </row>
    <row r="27" spans="1:11" ht="42" customHeight="1" x14ac:dyDescent="0.3">
      <c r="A27" s="16" t="s">
        <v>86</v>
      </c>
      <c r="B27" s="17" t="s">
        <v>82</v>
      </c>
      <c r="C27" s="14" t="s">
        <v>83</v>
      </c>
      <c r="D27" s="17">
        <v>1</v>
      </c>
      <c r="E27" s="17">
        <v>0</v>
      </c>
      <c r="F27" s="17">
        <v>0</v>
      </c>
      <c r="G27" s="17">
        <v>0</v>
      </c>
      <c r="H27" s="14" t="s">
        <v>87</v>
      </c>
      <c r="I27" s="24" t="s">
        <v>28</v>
      </c>
      <c r="J27" s="20" t="s">
        <v>53</v>
      </c>
      <c r="K27" s="14" t="s">
        <v>88</v>
      </c>
    </row>
    <row r="28" spans="1:11" ht="42" customHeight="1" x14ac:dyDescent="0.3">
      <c r="A28" s="16" t="s">
        <v>89</v>
      </c>
      <c r="B28" s="17" t="s">
        <v>82</v>
      </c>
      <c r="C28" s="14" t="s">
        <v>90</v>
      </c>
      <c r="D28" s="17">
        <v>3</v>
      </c>
      <c r="E28" s="17">
        <v>2</v>
      </c>
      <c r="F28" s="17">
        <v>0</v>
      </c>
      <c r="G28" s="17">
        <v>0</v>
      </c>
      <c r="H28" s="14"/>
      <c r="I28" s="24" t="s">
        <v>28</v>
      </c>
      <c r="J28" s="17" t="s">
        <v>30</v>
      </c>
      <c r="K28" s="14" t="s">
        <v>91</v>
      </c>
    </row>
    <row r="29" spans="1:11" ht="42" customHeight="1" x14ac:dyDescent="0.3">
      <c r="A29" s="16" t="s">
        <v>92</v>
      </c>
      <c r="B29" s="17" t="s">
        <v>82</v>
      </c>
      <c r="C29" s="14" t="s">
        <v>83</v>
      </c>
      <c r="D29" s="17">
        <v>3</v>
      </c>
      <c r="E29" s="17">
        <v>0</v>
      </c>
      <c r="F29" s="17">
        <v>0</v>
      </c>
      <c r="G29" s="17">
        <v>0</v>
      </c>
      <c r="H29" s="14"/>
      <c r="I29" s="24" t="s">
        <v>28</v>
      </c>
      <c r="J29" s="17" t="s">
        <v>30</v>
      </c>
      <c r="K29" s="14" t="s">
        <v>91</v>
      </c>
    </row>
    <row r="30" spans="1:11" ht="42" customHeight="1" x14ac:dyDescent="0.3">
      <c r="A30" s="16" t="s">
        <v>93</v>
      </c>
      <c r="B30" s="17" t="s">
        <v>82</v>
      </c>
      <c r="C30" s="14" t="s">
        <v>83</v>
      </c>
      <c r="D30" s="17">
        <v>2</v>
      </c>
      <c r="E30" s="17">
        <v>0</v>
      </c>
      <c r="F30" s="17">
        <v>0</v>
      </c>
      <c r="G30" s="17">
        <v>0</v>
      </c>
      <c r="H30" s="14"/>
      <c r="I30" s="24" t="s">
        <v>28</v>
      </c>
      <c r="J30" s="17" t="s">
        <v>30</v>
      </c>
      <c r="K30" s="14" t="s">
        <v>91</v>
      </c>
    </row>
    <row r="31" spans="1:11" ht="42" customHeight="1" x14ac:dyDescent="0.3">
      <c r="A31" s="16" t="s">
        <v>94</v>
      </c>
      <c r="B31" s="17" t="s">
        <v>82</v>
      </c>
      <c r="C31" s="14" t="s">
        <v>95</v>
      </c>
      <c r="D31" s="17">
        <v>1</v>
      </c>
      <c r="E31" s="17">
        <v>0</v>
      </c>
      <c r="F31" s="17">
        <v>0</v>
      </c>
      <c r="G31" s="17">
        <v>0</v>
      </c>
      <c r="H31" s="14"/>
      <c r="I31" s="24" t="s">
        <v>28</v>
      </c>
      <c r="J31" s="17" t="s">
        <v>30</v>
      </c>
      <c r="K31" s="14" t="s">
        <v>91</v>
      </c>
    </row>
    <row r="32" spans="1:11" ht="42" customHeight="1" x14ac:dyDescent="0.3">
      <c r="A32" s="16" t="s">
        <v>96</v>
      </c>
      <c r="B32" s="17" t="s">
        <v>82</v>
      </c>
      <c r="C32" s="14" t="s">
        <v>83</v>
      </c>
      <c r="D32" s="17">
        <v>3</v>
      </c>
      <c r="E32" s="17">
        <v>0</v>
      </c>
      <c r="F32" s="17">
        <v>1</v>
      </c>
      <c r="G32" s="17">
        <v>0</v>
      </c>
      <c r="H32" s="14"/>
      <c r="I32" s="24" t="s">
        <v>28</v>
      </c>
      <c r="J32" s="17" t="s">
        <v>30</v>
      </c>
      <c r="K32" s="14" t="s">
        <v>91</v>
      </c>
    </row>
    <row r="33" spans="1:11" ht="42" customHeight="1" x14ac:dyDescent="0.3">
      <c r="A33" s="16" t="s">
        <v>97</v>
      </c>
      <c r="B33" s="17" t="s">
        <v>82</v>
      </c>
      <c r="C33" s="14" t="s">
        <v>98</v>
      </c>
      <c r="D33" s="17">
        <v>5</v>
      </c>
      <c r="E33" s="17">
        <v>0</v>
      </c>
      <c r="F33" s="17">
        <v>1</v>
      </c>
      <c r="G33" s="17">
        <v>0</v>
      </c>
      <c r="H33" s="14" t="s">
        <v>58</v>
      </c>
      <c r="I33" s="24" t="s">
        <v>28</v>
      </c>
      <c r="J33" s="17" t="s">
        <v>30</v>
      </c>
      <c r="K33" s="14" t="s">
        <v>91</v>
      </c>
    </row>
    <row r="34" spans="1:11" ht="42" customHeight="1" x14ac:dyDescent="0.3">
      <c r="A34" s="16" t="s">
        <v>99</v>
      </c>
      <c r="B34" s="17" t="s">
        <v>82</v>
      </c>
      <c r="C34" s="14" t="s">
        <v>83</v>
      </c>
      <c r="D34" s="17">
        <v>7</v>
      </c>
      <c r="E34" s="17">
        <v>0</v>
      </c>
      <c r="F34" s="17">
        <v>9</v>
      </c>
      <c r="G34" s="17">
        <v>10</v>
      </c>
      <c r="H34" s="14"/>
      <c r="I34" s="24" t="s">
        <v>28</v>
      </c>
      <c r="J34" s="17" t="s">
        <v>30</v>
      </c>
      <c r="K34" s="14" t="s">
        <v>91</v>
      </c>
    </row>
    <row r="35" spans="1:11" ht="42" customHeight="1" x14ac:dyDescent="0.3">
      <c r="A35" s="16" t="s">
        <v>100</v>
      </c>
      <c r="B35" s="17" t="s">
        <v>82</v>
      </c>
      <c r="C35" s="14" t="s">
        <v>83</v>
      </c>
      <c r="D35" s="17">
        <v>0</v>
      </c>
      <c r="E35" s="17">
        <v>0</v>
      </c>
      <c r="F35" s="17">
        <v>0</v>
      </c>
      <c r="G35" s="17">
        <v>0</v>
      </c>
      <c r="H35" s="14"/>
      <c r="I35" s="24" t="s">
        <v>28</v>
      </c>
      <c r="J35" s="17" t="s">
        <v>30</v>
      </c>
      <c r="K35" s="14" t="s">
        <v>91</v>
      </c>
    </row>
    <row r="36" spans="1:11" ht="42" customHeight="1" x14ac:dyDescent="0.3">
      <c r="A36" s="16" t="s">
        <v>101</v>
      </c>
      <c r="B36" s="17" t="s">
        <v>82</v>
      </c>
      <c r="C36" s="14" t="s">
        <v>83</v>
      </c>
      <c r="D36" s="17">
        <v>4</v>
      </c>
      <c r="E36" s="17">
        <v>0</v>
      </c>
      <c r="F36" s="17">
        <v>3</v>
      </c>
      <c r="G36" s="17">
        <v>0</v>
      </c>
      <c r="H36" s="14"/>
      <c r="I36" s="24" t="s">
        <v>28</v>
      </c>
      <c r="J36" s="17" t="s">
        <v>30</v>
      </c>
      <c r="K36" s="14" t="s">
        <v>91</v>
      </c>
    </row>
    <row r="37" spans="1:11" ht="42" customHeight="1" x14ac:dyDescent="0.3">
      <c r="A37" s="16" t="s">
        <v>102</v>
      </c>
      <c r="B37" s="17" t="s">
        <v>82</v>
      </c>
      <c r="C37" s="14" t="s">
        <v>83</v>
      </c>
      <c r="D37" s="17">
        <v>3</v>
      </c>
      <c r="E37" s="17">
        <v>0</v>
      </c>
      <c r="F37" s="17">
        <v>2</v>
      </c>
      <c r="G37" s="17">
        <v>2</v>
      </c>
      <c r="H37" s="14"/>
      <c r="I37" s="24" t="s">
        <v>28</v>
      </c>
      <c r="J37" s="17" t="s">
        <v>30</v>
      </c>
      <c r="K37" s="14" t="s">
        <v>91</v>
      </c>
    </row>
    <row r="38" spans="1:11" ht="42" customHeight="1" x14ac:dyDescent="0.3">
      <c r="A38" s="16" t="s">
        <v>103</v>
      </c>
      <c r="B38" s="17" t="s">
        <v>82</v>
      </c>
      <c r="C38" s="14" t="s">
        <v>83</v>
      </c>
      <c r="D38" s="17">
        <v>3</v>
      </c>
      <c r="E38" s="17">
        <v>0</v>
      </c>
      <c r="F38" s="17">
        <v>4</v>
      </c>
      <c r="G38" s="17">
        <v>0</v>
      </c>
      <c r="H38" s="14" t="s">
        <v>50</v>
      </c>
      <c r="I38" s="24" t="s">
        <v>28</v>
      </c>
      <c r="J38" s="17" t="s">
        <v>30</v>
      </c>
      <c r="K38" s="14" t="s">
        <v>91</v>
      </c>
    </row>
    <row r="39" spans="1:11" ht="42" customHeight="1" x14ac:dyDescent="0.3">
      <c r="A39" s="16" t="s">
        <v>104</v>
      </c>
      <c r="B39" s="17" t="s">
        <v>82</v>
      </c>
      <c r="C39" s="14" t="s">
        <v>83</v>
      </c>
      <c r="D39" s="17">
        <v>1</v>
      </c>
      <c r="E39" s="17">
        <v>0</v>
      </c>
      <c r="F39" s="17">
        <v>0</v>
      </c>
      <c r="G39" s="17">
        <v>0</v>
      </c>
      <c r="H39" s="14"/>
      <c r="I39" s="24" t="s">
        <v>28</v>
      </c>
      <c r="J39" s="17" t="s">
        <v>30</v>
      </c>
      <c r="K39" s="14" t="s">
        <v>91</v>
      </c>
    </row>
    <row r="40" spans="1:11" ht="42" customHeight="1" x14ac:dyDescent="0.3">
      <c r="A40" s="16" t="s">
        <v>105</v>
      </c>
      <c r="B40" s="17" t="s">
        <v>82</v>
      </c>
      <c r="C40" s="14" t="s">
        <v>83</v>
      </c>
      <c r="D40" s="17">
        <v>2</v>
      </c>
      <c r="E40" s="17">
        <v>0</v>
      </c>
      <c r="F40" s="17">
        <v>0</v>
      </c>
      <c r="G40" s="17">
        <v>0</v>
      </c>
      <c r="H40" s="14"/>
      <c r="I40" s="24" t="s">
        <v>28</v>
      </c>
      <c r="J40" s="17" t="s">
        <v>30</v>
      </c>
      <c r="K40" s="14" t="s">
        <v>91</v>
      </c>
    </row>
    <row r="41" spans="1:11" ht="42" customHeight="1" x14ac:dyDescent="0.3">
      <c r="A41" s="16" t="s">
        <v>106</v>
      </c>
      <c r="B41" s="17" t="s">
        <v>82</v>
      </c>
      <c r="C41" s="14" t="s">
        <v>83</v>
      </c>
      <c r="D41" s="17">
        <v>2</v>
      </c>
      <c r="E41" s="17">
        <v>1</v>
      </c>
      <c r="F41" s="17">
        <v>6</v>
      </c>
      <c r="G41" s="17">
        <v>0</v>
      </c>
      <c r="H41" s="14"/>
      <c r="I41" s="24" t="s">
        <v>28</v>
      </c>
      <c r="J41" s="17" t="s">
        <v>30</v>
      </c>
      <c r="K41" s="14" t="s">
        <v>91</v>
      </c>
    </row>
    <row r="42" spans="1:11" ht="42" customHeight="1" x14ac:dyDescent="0.3">
      <c r="A42" s="16" t="s">
        <v>107</v>
      </c>
      <c r="B42" s="17" t="s">
        <v>82</v>
      </c>
      <c r="C42" s="14" t="s">
        <v>108</v>
      </c>
      <c r="D42" s="17">
        <v>5</v>
      </c>
      <c r="E42" s="17">
        <v>0</v>
      </c>
      <c r="F42" s="17">
        <v>0</v>
      </c>
      <c r="G42" s="17">
        <v>0</v>
      </c>
      <c r="H42" s="14"/>
      <c r="I42" s="24" t="s">
        <v>28</v>
      </c>
      <c r="J42" s="17" t="s">
        <v>30</v>
      </c>
      <c r="K42" s="14" t="s">
        <v>91</v>
      </c>
    </row>
    <row r="43" spans="1:11" ht="42" customHeight="1" x14ac:dyDescent="0.3">
      <c r="A43" s="16" t="s">
        <v>109</v>
      </c>
      <c r="B43" s="17" t="s">
        <v>82</v>
      </c>
      <c r="C43" s="14" t="s">
        <v>83</v>
      </c>
      <c r="D43" s="17">
        <v>1</v>
      </c>
      <c r="E43" s="17">
        <v>0</v>
      </c>
      <c r="F43" s="17">
        <v>0</v>
      </c>
      <c r="G43" s="17">
        <v>0</v>
      </c>
      <c r="H43" s="14"/>
      <c r="I43" s="24" t="s">
        <v>28</v>
      </c>
      <c r="J43" s="17" t="s">
        <v>30</v>
      </c>
      <c r="K43" s="14" t="s">
        <v>91</v>
      </c>
    </row>
    <row r="44" spans="1:11" ht="42" customHeight="1" x14ac:dyDescent="0.3">
      <c r="A44" s="16" t="s">
        <v>110</v>
      </c>
      <c r="B44" s="17" t="s">
        <v>82</v>
      </c>
      <c r="C44" s="14" t="s">
        <v>83</v>
      </c>
      <c r="D44" s="17">
        <v>1</v>
      </c>
      <c r="E44" s="17">
        <v>1</v>
      </c>
      <c r="F44" s="17">
        <v>1</v>
      </c>
      <c r="G44" s="17">
        <v>0</v>
      </c>
      <c r="H44" s="14"/>
      <c r="I44" s="24" t="s">
        <v>28</v>
      </c>
      <c r="J44" s="17" t="s">
        <v>30</v>
      </c>
      <c r="K44" s="14" t="s">
        <v>91</v>
      </c>
    </row>
    <row r="45" spans="1:11" ht="42" customHeight="1" x14ac:dyDescent="0.3">
      <c r="A45" s="16" t="s">
        <v>111</v>
      </c>
      <c r="B45" s="17" t="s">
        <v>82</v>
      </c>
      <c r="C45" s="14" t="s">
        <v>83</v>
      </c>
      <c r="D45" s="17">
        <v>5</v>
      </c>
      <c r="E45" s="17">
        <v>0</v>
      </c>
      <c r="F45" s="17">
        <v>6</v>
      </c>
      <c r="G45" s="17">
        <v>1</v>
      </c>
      <c r="H45" s="14"/>
      <c r="I45" s="24" t="s">
        <v>28</v>
      </c>
      <c r="J45" s="17" t="s">
        <v>30</v>
      </c>
      <c r="K45" s="14" t="s">
        <v>91</v>
      </c>
    </row>
    <row r="46" spans="1:11" ht="42" customHeight="1" x14ac:dyDescent="0.3">
      <c r="A46" s="16" t="s">
        <v>112</v>
      </c>
      <c r="B46" s="17" t="s">
        <v>82</v>
      </c>
      <c r="C46" s="14" t="s">
        <v>83</v>
      </c>
      <c r="D46" s="17">
        <v>3</v>
      </c>
      <c r="E46" s="17">
        <v>0</v>
      </c>
      <c r="F46" s="17">
        <v>0</v>
      </c>
      <c r="G46" s="17">
        <v>0</v>
      </c>
      <c r="H46" s="14"/>
      <c r="I46" s="24" t="s">
        <v>28</v>
      </c>
      <c r="J46" s="17" t="s">
        <v>30</v>
      </c>
      <c r="K46" s="14" t="s">
        <v>91</v>
      </c>
    </row>
    <row r="47" spans="1:11" ht="42" customHeight="1" x14ac:dyDescent="0.3">
      <c r="A47" s="16" t="s">
        <v>113</v>
      </c>
      <c r="B47" s="17" t="s">
        <v>82</v>
      </c>
      <c r="C47" s="14" t="s">
        <v>83</v>
      </c>
      <c r="D47" s="17">
        <v>3</v>
      </c>
      <c r="E47" s="17">
        <v>0</v>
      </c>
      <c r="F47" s="17">
        <v>1</v>
      </c>
      <c r="G47" s="17">
        <v>0</v>
      </c>
      <c r="H47" s="14"/>
      <c r="I47" s="24" t="s">
        <v>28</v>
      </c>
      <c r="J47" s="17" t="s">
        <v>30</v>
      </c>
      <c r="K47" s="14" t="s">
        <v>91</v>
      </c>
    </row>
    <row r="48" spans="1:11" ht="42" customHeight="1" x14ac:dyDescent="0.3">
      <c r="A48" s="16" t="s">
        <v>114</v>
      </c>
      <c r="B48" s="17" t="s">
        <v>82</v>
      </c>
      <c r="C48" s="14" t="s">
        <v>83</v>
      </c>
      <c r="D48" s="17">
        <v>3</v>
      </c>
      <c r="E48" s="17">
        <v>0</v>
      </c>
      <c r="F48" s="17">
        <v>1</v>
      </c>
      <c r="G48" s="17">
        <v>2</v>
      </c>
      <c r="H48" s="14"/>
      <c r="I48" s="24" t="s">
        <v>28</v>
      </c>
      <c r="J48" s="17" t="s">
        <v>30</v>
      </c>
      <c r="K48" s="14" t="s">
        <v>91</v>
      </c>
    </row>
    <row r="49" spans="1:11" ht="42" customHeight="1" x14ac:dyDescent="0.3">
      <c r="A49" s="16" t="s">
        <v>115</v>
      </c>
      <c r="B49" s="17" t="s">
        <v>82</v>
      </c>
      <c r="C49" s="14" t="s">
        <v>83</v>
      </c>
      <c r="D49" s="17">
        <v>3</v>
      </c>
      <c r="E49" s="17">
        <v>0</v>
      </c>
      <c r="F49" s="17">
        <v>0</v>
      </c>
      <c r="G49" s="17">
        <v>0</v>
      </c>
      <c r="H49" s="14"/>
      <c r="I49" s="24" t="s">
        <v>28</v>
      </c>
      <c r="J49" s="17" t="s">
        <v>30</v>
      </c>
      <c r="K49" s="14" t="s">
        <v>91</v>
      </c>
    </row>
    <row r="50" spans="1:11" ht="42" customHeight="1" x14ac:dyDescent="0.3">
      <c r="A50" s="16" t="s">
        <v>116</v>
      </c>
      <c r="B50" s="17" t="s">
        <v>82</v>
      </c>
      <c r="C50" s="14" t="s">
        <v>83</v>
      </c>
      <c r="D50" s="17">
        <v>2</v>
      </c>
      <c r="E50" s="17">
        <v>0</v>
      </c>
      <c r="F50" s="17">
        <v>0</v>
      </c>
      <c r="G50" s="17">
        <v>0</v>
      </c>
      <c r="H50" s="14"/>
      <c r="I50" s="24" t="s">
        <v>28</v>
      </c>
      <c r="J50" s="17" t="s">
        <v>30</v>
      </c>
      <c r="K50" s="14" t="s">
        <v>91</v>
      </c>
    </row>
    <row r="51" spans="1:11" ht="42" customHeight="1" x14ac:dyDescent="0.3">
      <c r="A51" s="16" t="s">
        <v>117</v>
      </c>
      <c r="B51" s="17" t="s">
        <v>82</v>
      </c>
      <c r="C51" s="14" t="s">
        <v>98</v>
      </c>
      <c r="D51" s="17">
        <v>1</v>
      </c>
      <c r="E51" s="17">
        <v>0</v>
      </c>
      <c r="F51" s="17">
        <v>0</v>
      </c>
      <c r="G51" s="17">
        <v>0</v>
      </c>
      <c r="H51" s="14" t="s">
        <v>58</v>
      </c>
      <c r="I51" s="24" t="s">
        <v>28</v>
      </c>
      <c r="J51" s="17" t="s">
        <v>30</v>
      </c>
      <c r="K51" s="14" t="s">
        <v>91</v>
      </c>
    </row>
    <row r="52" spans="1:11" ht="42" customHeight="1" x14ac:dyDescent="0.3">
      <c r="A52" s="16" t="s">
        <v>118</v>
      </c>
      <c r="B52" s="17" t="s">
        <v>82</v>
      </c>
      <c r="C52" s="14" t="s">
        <v>83</v>
      </c>
      <c r="D52" s="17">
        <v>1</v>
      </c>
      <c r="E52" s="17">
        <v>0</v>
      </c>
      <c r="F52" s="17">
        <v>0</v>
      </c>
      <c r="G52" s="17">
        <v>0</v>
      </c>
      <c r="H52" s="14" t="s">
        <v>50</v>
      </c>
      <c r="I52" s="24" t="s">
        <v>28</v>
      </c>
      <c r="J52" s="17" t="s">
        <v>30</v>
      </c>
      <c r="K52" s="14" t="s">
        <v>91</v>
      </c>
    </row>
    <row r="53" spans="1:11" ht="42" customHeight="1" x14ac:dyDescent="0.3">
      <c r="A53" s="16" t="s">
        <v>119</v>
      </c>
      <c r="B53" s="17" t="s">
        <v>82</v>
      </c>
      <c r="C53" s="14" t="s">
        <v>98</v>
      </c>
      <c r="D53" s="17">
        <v>1</v>
      </c>
      <c r="E53" s="17">
        <v>0</v>
      </c>
      <c r="F53" s="17">
        <v>0</v>
      </c>
      <c r="G53" s="17">
        <v>0</v>
      </c>
      <c r="H53" s="14" t="s">
        <v>58</v>
      </c>
      <c r="I53" s="24" t="s">
        <v>28</v>
      </c>
      <c r="J53" s="17" t="s">
        <v>30</v>
      </c>
      <c r="K53" s="14" t="s">
        <v>91</v>
      </c>
    </row>
    <row r="54" spans="1:11" ht="42" customHeight="1" x14ac:dyDescent="0.3">
      <c r="A54" s="16" t="s">
        <v>120</v>
      </c>
      <c r="B54" s="17" t="s">
        <v>82</v>
      </c>
      <c r="C54" s="14" t="s">
        <v>98</v>
      </c>
      <c r="D54" s="17">
        <v>3</v>
      </c>
      <c r="E54" s="17">
        <v>0</v>
      </c>
      <c r="F54" s="17">
        <v>0</v>
      </c>
      <c r="G54" s="17">
        <v>0</v>
      </c>
      <c r="H54" s="14" t="s">
        <v>58</v>
      </c>
      <c r="I54" s="24" t="s">
        <v>28</v>
      </c>
      <c r="J54" s="17" t="s">
        <v>30</v>
      </c>
      <c r="K54" s="14" t="s">
        <v>91</v>
      </c>
    </row>
  </sheetData>
  <autoFilter ref="A2:K54" xr:uid="{00000000-0009-0000-0000-000001000000}"/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zoomScaleNormal="100" workbookViewId="0">
      <pane ySplit="3" topLeftCell="A4" activePane="bottomLeft" state="frozen"/>
      <selection pane="bottomLeft" activeCell="D5" sqref="D5"/>
    </sheetView>
  </sheetViews>
  <sheetFormatPr defaultColWidth="8.6640625" defaultRowHeight="14.4" x14ac:dyDescent="0.3"/>
  <cols>
    <col min="1" max="1" width="46" customWidth="1"/>
    <col min="2" max="2" width="12" customWidth="1"/>
    <col min="3" max="3" width="10" customWidth="1"/>
    <col min="4" max="4" width="24" customWidth="1"/>
    <col min="5" max="5" width="9" customWidth="1"/>
    <col min="6" max="6" width="66" customWidth="1"/>
  </cols>
  <sheetData>
    <row r="1" spans="1:6" ht="17.399999999999999" x14ac:dyDescent="0.3">
      <c r="A1" s="1" t="s">
        <v>201</v>
      </c>
      <c r="B1" s="1"/>
      <c r="C1" s="1"/>
      <c r="D1" s="1"/>
      <c r="E1" s="1"/>
      <c r="F1" s="1"/>
    </row>
    <row r="2" spans="1:6" x14ac:dyDescent="0.3">
      <c r="A2" s="2" t="s">
        <v>121</v>
      </c>
      <c r="B2" s="2"/>
      <c r="C2" s="2"/>
      <c r="D2" s="2"/>
      <c r="E2" s="2"/>
      <c r="F2" s="2"/>
    </row>
    <row r="3" spans="1:6" ht="26.4" x14ac:dyDescent="0.3">
      <c r="A3" s="15" t="s">
        <v>122</v>
      </c>
      <c r="B3" s="15" t="s">
        <v>123</v>
      </c>
      <c r="C3" s="15" t="s">
        <v>37</v>
      </c>
      <c r="D3" s="15" t="s">
        <v>124</v>
      </c>
      <c r="E3" s="15" t="s">
        <v>40</v>
      </c>
      <c r="F3" s="15" t="s">
        <v>41</v>
      </c>
    </row>
    <row r="4" spans="1:6" ht="39.75" customHeight="1" x14ac:dyDescent="0.3">
      <c r="A4" s="16" t="s">
        <v>125</v>
      </c>
      <c r="B4" s="17" t="s">
        <v>126</v>
      </c>
      <c r="C4" s="17">
        <v>0</v>
      </c>
      <c r="D4" s="14" t="s">
        <v>127</v>
      </c>
      <c r="E4" s="19" t="s">
        <v>44</v>
      </c>
      <c r="F4" s="14" t="s">
        <v>128</v>
      </c>
    </row>
    <row r="5" spans="1:6" ht="39.75" customHeight="1" x14ac:dyDescent="0.3">
      <c r="A5" s="16" t="s">
        <v>129</v>
      </c>
      <c r="B5" s="17" t="s">
        <v>126</v>
      </c>
      <c r="C5" s="20">
        <v>4</v>
      </c>
      <c r="D5" s="14" t="s">
        <v>130</v>
      </c>
      <c r="E5" s="19" t="s">
        <v>44</v>
      </c>
      <c r="F5" s="14" t="s">
        <v>131</v>
      </c>
    </row>
    <row r="6" spans="1:6" ht="39.75" customHeight="1" x14ac:dyDescent="0.3">
      <c r="A6" s="16" t="s">
        <v>132</v>
      </c>
      <c r="B6" s="17" t="s">
        <v>126</v>
      </c>
      <c r="C6" s="17">
        <v>0</v>
      </c>
      <c r="D6" s="14" t="s">
        <v>133</v>
      </c>
      <c r="E6" s="20" t="s">
        <v>53</v>
      </c>
      <c r="F6" s="14" t="s">
        <v>134</v>
      </c>
    </row>
    <row r="7" spans="1:6" ht="39.75" customHeight="1" x14ac:dyDescent="0.3">
      <c r="A7" s="16" t="s">
        <v>135</v>
      </c>
      <c r="B7" s="17" t="s">
        <v>126</v>
      </c>
      <c r="C7" s="17">
        <v>0</v>
      </c>
      <c r="D7" s="14" t="s">
        <v>136</v>
      </c>
      <c r="E7" s="20" t="s">
        <v>53</v>
      </c>
      <c r="F7" s="14" t="s">
        <v>137</v>
      </c>
    </row>
    <row r="8" spans="1:6" ht="39.75" customHeight="1" x14ac:dyDescent="0.3">
      <c r="A8" s="16" t="s">
        <v>138</v>
      </c>
      <c r="B8" s="17" t="s">
        <v>126</v>
      </c>
      <c r="C8" s="17">
        <v>0</v>
      </c>
      <c r="D8" s="14" t="s">
        <v>139</v>
      </c>
      <c r="E8" s="20" t="s">
        <v>53</v>
      </c>
      <c r="F8" s="14" t="s">
        <v>140</v>
      </c>
    </row>
    <row r="9" spans="1:6" ht="39.75" customHeight="1" x14ac:dyDescent="0.3">
      <c r="A9" s="16" t="s">
        <v>141</v>
      </c>
      <c r="B9" s="17" t="s">
        <v>126</v>
      </c>
      <c r="C9" s="17">
        <v>0</v>
      </c>
      <c r="D9" s="14" t="s">
        <v>139</v>
      </c>
      <c r="E9" s="20" t="s">
        <v>53</v>
      </c>
      <c r="F9" s="14" t="s">
        <v>142</v>
      </c>
    </row>
    <row r="10" spans="1:6" ht="39.75" customHeight="1" x14ac:dyDescent="0.3">
      <c r="A10" s="16" t="s">
        <v>143</v>
      </c>
      <c r="B10" s="17" t="s">
        <v>126</v>
      </c>
      <c r="C10" s="17">
        <v>0</v>
      </c>
      <c r="D10" s="14" t="s">
        <v>144</v>
      </c>
      <c r="E10" s="20" t="s">
        <v>53</v>
      </c>
      <c r="F10" s="14" t="s">
        <v>145</v>
      </c>
    </row>
    <row r="11" spans="1:6" ht="39.75" customHeight="1" x14ac:dyDescent="0.3">
      <c r="A11" s="16" t="s">
        <v>146</v>
      </c>
      <c r="B11" s="17" t="s">
        <v>126</v>
      </c>
      <c r="C11" s="17">
        <v>0</v>
      </c>
      <c r="D11" s="14" t="s">
        <v>147</v>
      </c>
      <c r="E11" s="23" t="s">
        <v>25</v>
      </c>
      <c r="F11" s="14" t="s">
        <v>148</v>
      </c>
    </row>
    <row r="12" spans="1:6" ht="39.75" customHeight="1" x14ac:dyDescent="0.3">
      <c r="A12" s="16" t="s">
        <v>149</v>
      </c>
      <c r="B12" s="17" t="s">
        <v>126</v>
      </c>
      <c r="C12" s="17">
        <v>0</v>
      </c>
      <c r="D12" s="14" t="s">
        <v>150</v>
      </c>
      <c r="E12" s="23" t="s">
        <v>25</v>
      </c>
      <c r="F12" s="14" t="s">
        <v>151</v>
      </c>
    </row>
    <row r="13" spans="1:6" ht="39.75" customHeight="1" x14ac:dyDescent="0.3">
      <c r="A13" s="16" t="s">
        <v>152</v>
      </c>
      <c r="B13" s="17" t="s">
        <v>126</v>
      </c>
      <c r="C13" s="17">
        <v>0</v>
      </c>
      <c r="D13" s="14" t="s">
        <v>153</v>
      </c>
      <c r="E13" s="23" t="s">
        <v>25</v>
      </c>
      <c r="F13" s="14" t="s">
        <v>154</v>
      </c>
    </row>
    <row r="14" spans="1:6" ht="39.75" customHeight="1" x14ac:dyDescent="0.3">
      <c r="A14" s="16" t="s">
        <v>155</v>
      </c>
      <c r="B14" s="17" t="s">
        <v>126</v>
      </c>
      <c r="C14" s="17">
        <v>0</v>
      </c>
      <c r="D14" s="14" t="s">
        <v>156</v>
      </c>
      <c r="E14" s="23" t="s">
        <v>25</v>
      </c>
      <c r="F14" s="14" t="s">
        <v>157</v>
      </c>
    </row>
    <row r="15" spans="1:6" ht="39.75" customHeight="1" x14ac:dyDescent="0.3">
      <c r="A15" s="16" t="s">
        <v>158</v>
      </c>
      <c r="B15" s="17" t="s">
        <v>159</v>
      </c>
      <c r="C15" s="17">
        <v>0</v>
      </c>
      <c r="D15" s="14" t="s">
        <v>159</v>
      </c>
      <c r="E15" s="23" t="s">
        <v>25</v>
      </c>
      <c r="F15" s="14" t="s">
        <v>160</v>
      </c>
    </row>
  </sheetData>
  <autoFilter ref="A3:F15" xr:uid="{00000000-0009-0000-0000-000002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zoomScaleNormal="100" workbookViewId="0">
      <pane ySplit="3" topLeftCell="A4" activePane="bottomLeft" state="frozen"/>
      <selection pane="bottomLeft" activeCell="C5" sqref="C5"/>
    </sheetView>
  </sheetViews>
  <sheetFormatPr defaultColWidth="8.6640625" defaultRowHeight="14.4" x14ac:dyDescent="0.3"/>
  <cols>
    <col min="1" max="1" width="26" customWidth="1"/>
    <col min="2" max="2" width="30" customWidth="1"/>
    <col min="3" max="3" width="40" customWidth="1"/>
    <col min="4" max="4" width="9" customWidth="1"/>
    <col min="5" max="5" width="10" customWidth="1"/>
    <col min="6" max="6" width="12" customWidth="1"/>
    <col min="7" max="7" width="60" customWidth="1"/>
  </cols>
  <sheetData>
    <row r="1" spans="1:7" ht="17.399999999999999" x14ac:dyDescent="0.3">
      <c r="A1" s="1" t="s">
        <v>202</v>
      </c>
      <c r="B1" s="1"/>
      <c r="C1" s="1"/>
      <c r="D1" s="1"/>
      <c r="E1" s="1"/>
      <c r="F1" s="1"/>
      <c r="G1" s="1"/>
    </row>
    <row r="2" spans="1:7" x14ac:dyDescent="0.3">
      <c r="A2" s="2" t="s">
        <v>161</v>
      </c>
      <c r="B2" s="2"/>
      <c r="C2" s="2"/>
      <c r="D2" s="2"/>
      <c r="E2" s="2"/>
      <c r="F2" s="2"/>
      <c r="G2" s="2"/>
    </row>
    <row r="3" spans="1:7" ht="39.6" x14ac:dyDescent="0.3">
      <c r="A3" s="15" t="s">
        <v>32</v>
      </c>
      <c r="B3" s="15" t="s">
        <v>162</v>
      </c>
      <c r="C3" s="15" t="s">
        <v>163</v>
      </c>
      <c r="D3" s="15" t="s">
        <v>35</v>
      </c>
      <c r="E3" s="15" t="s">
        <v>164</v>
      </c>
      <c r="F3" s="15" t="s">
        <v>165</v>
      </c>
      <c r="G3" s="15" t="s">
        <v>166</v>
      </c>
    </row>
    <row r="4" spans="1:7" ht="48" customHeight="1" x14ac:dyDescent="0.3">
      <c r="A4" s="16" t="s">
        <v>89</v>
      </c>
      <c r="B4" s="14" t="s">
        <v>167</v>
      </c>
      <c r="C4" s="14" t="s">
        <v>168</v>
      </c>
      <c r="D4" s="20">
        <v>3</v>
      </c>
      <c r="E4" s="17">
        <v>0</v>
      </c>
      <c r="F4" s="20" t="s">
        <v>169</v>
      </c>
      <c r="G4" s="14" t="s">
        <v>170</v>
      </c>
    </row>
    <row r="5" spans="1:7" ht="48" customHeight="1" x14ac:dyDescent="0.3">
      <c r="A5" s="16" t="s">
        <v>107</v>
      </c>
      <c r="B5" s="14" t="s">
        <v>171</v>
      </c>
      <c r="C5" s="14" t="s">
        <v>168</v>
      </c>
      <c r="D5" s="20">
        <v>5</v>
      </c>
      <c r="E5" s="17">
        <v>0</v>
      </c>
      <c r="F5" s="20" t="s">
        <v>169</v>
      </c>
      <c r="G5" s="14" t="s">
        <v>172</v>
      </c>
    </row>
    <row r="6" spans="1:7" ht="48" customHeight="1" x14ac:dyDescent="0.3">
      <c r="A6" s="16" t="s">
        <v>120</v>
      </c>
      <c r="B6" s="14" t="s">
        <v>173</v>
      </c>
      <c r="C6" s="14" t="s">
        <v>168</v>
      </c>
      <c r="D6" s="20">
        <v>3</v>
      </c>
      <c r="E6" s="17">
        <v>0</v>
      </c>
      <c r="F6" s="20" t="s">
        <v>169</v>
      </c>
      <c r="G6" s="14" t="s">
        <v>174</v>
      </c>
    </row>
    <row r="7" spans="1:7" ht="48" customHeight="1" x14ac:dyDescent="0.3">
      <c r="A7" s="16" t="s">
        <v>94</v>
      </c>
      <c r="B7" s="14" t="s">
        <v>175</v>
      </c>
      <c r="C7" s="14" t="s">
        <v>168</v>
      </c>
      <c r="D7" s="17">
        <v>1</v>
      </c>
      <c r="E7" s="17">
        <v>0</v>
      </c>
      <c r="F7" s="23" t="s">
        <v>176</v>
      </c>
      <c r="G7" s="14" t="s">
        <v>177</v>
      </c>
    </row>
    <row r="8" spans="1:7" ht="48" customHeight="1" x14ac:dyDescent="0.3">
      <c r="A8" s="16" t="s">
        <v>97</v>
      </c>
      <c r="B8" s="14" t="s">
        <v>178</v>
      </c>
      <c r="C8" s="14" t="s">
        <v>168</v>
      </c>
      <c r="D8" s="17">
        <v>5</v>
      </c>
      <c r="E8" s="17">
        <v>1</v>
      </c>
      <c r="F8" s="23" t="s">
        <v>176</v>
      </c>
      <c r="G8" s="14" t="s">
        <v>179</v>
      </c>
    </row>
    <row r="9" spans="1:7" ht="48" customHeight="1" x14ac:dyDescent="0.3">
      <c r="A9" s="16" t="s">
        <v>119</v>
      </c>
      <c r="B9" s="14" t="s">
        <v>180</v>
      </c>
      <c r="C9" s="14" t="s">
        <v>168</v>
      </c>
      <c r="D9" s="17">
        <v>1</v>
      </c>
      <c r="E9" s="17">
        <v>0</v>
      </c>
      <c r="F9" s="23" t="s">
        <v>176</v>
      </c>
      <c r="G9" s="14" t="s">
        <v>181</v>
      </c>
    </row>
    <row r="10" spans="1:7" ht="48" customHeight="1" x14ac:dyDescent="0.3">
      <c r="A10" s="16" t="s">
        <v>117</v>
      </c>
      <c r="B10" s="14" t="s">
        <v>182</v>
      </c>
      <c r="C10" s="14" t="s">
        <v>168</v>
      </c>
      <c r="D10" s="17">
        <v>1</v>
      </c>
      <c r="E10" s="17">
        <v>0</v>
      </c>
      <c r="F10" s="23" t="s">
        <v>176</v>
      </c>
      <c r="G10" s="14" t="s">
        <v>183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40" customWidth="1"/>
    <col min="2" max="2" width="90" customWidth="1"/>
    <col min="3" max="3" width="10" customWidth="1"/>
  </cols>
  <sheetData>
    <row r="1" spans="1:4" ht="17.399999999999999" x14ac:dyDescent="0.3">
      <c r="A1" s="1" t="s">
        <v>184</v>
      </c>
      <c r="B1" s="1"/>
      <c r="C1" s="1"/>
      <c r="D1" s="1"/>
    </row>
    <row r="2" spans="1:4" x14ac:dyDescent="0.3">
      <c r="A2" s="2" t="s">
        <v>185</v>
      </c>
      <c r="B2" s="2"/>
      <c r="C2" s="2"/>
      <c r="D2" s="2"/>
    </row>
    <row r="3" spans="1:4" x14ac:dyDescent="0.3">
      <c r="A3" s="15" t="s">
        <v>186</v>
      </c>
      <c r="B3" s="15" t="s">
        <v>187</v>
      </c>
      <c r="C3" s="15" t="s">
        <v>40</v>
      </c>
    </row>
    <row r="4" spans="1:4" ht="43.5" customHeight="1" x14ac:dyDescent="0.3">
      <c r="A4" s="13" t="s">
        <v>188</v>
      </c>
      <c r="B4" s="14" t="s">
        <v>189</v>
      </c>
      <c r="C4" s="19" t="s">
        <v>44</v>
      </c>
    </row>
    <row r="5" spans="1:4" ht="43.5" customHeight="1" x14ac:dyDescent="0.3">
      <c r="A5" s="13" t="s">
        <v>190</v>
      </c>
      <c r="B5" s="14" t="s">
        <v>191</v>
      </c>
      <c r="C5" s="19" t="s">
        <v>44</v>
      </c>
    </row>
    <row r="6" spans="1:4" ht="43.5" customHeight="1" x14ac:dyDescent="0.3">
      <c r="A6" s="13" t="s">
        <v>192</v>
      </c>
      <c r="B6" s="14" t="s">
        <v>193</v>
      </c>
      <c r="C6" s="19" t="s">
        <v>44</v>
      </c>
    </row>
    <row r="7" spans="1:4" ht="43.5" customHeight="1" x14ac:dyDescent="0.3">
      <c r="A7" s="13" t="s">
        <v>194</v>
      </c>
      <c r="B7" s="14" t="s">
        <v>195</v>
      </c>
      <c r="C7" s="20" t="s">
        <v>53</v>
      </c>
    </row>
    <row r="8" spans="1:4" ht="43.5" customHeight="1" x14ac:dyDescent="0.3">
      <c r="A8" s="13" t="s">
        <v>196</v>
      </c>
      <c r="B8" s="14" t="s">
        <v>197</v>
      </c>
      <c r="C8" s="20" t="s">
        <v>53</v>
      </c>
    </row>
    <row r="9" spans="1:4" ht="43.5" customHeight="1" x14ac:dyDescent="0.3">
      <c r="A9" s="13" t="s">
        <v>198</v>
      </c>
      <c r="B9" s="14" t="s">
        <v>199</v>
      </c>
      <c r="C9" s="20" t="s">
        <v>53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Gap_Register</vt:lpstr>
      <vt:lpstr>Unmapped_Prod_Apps</vt:lpstr>
      <vt:lpstr>Replan_OOS_Validation</vt:lpstr>
      <vt:lpstr>Replan_Internal_Gaps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Puneet Kumar</cp:lastModifiedBy>
  <cp:revision>0</cp:revision>
  <dcterms:created xsi:type="dcterms:W3CDTF">2026-09-29T13:37:16Z</dcterms:created>
  <dcterms:modified xsi:type="dcterms:W3CDTF">2026-09-30T11:42:50Z</dcterms:modified>
  <dc:language>en-US</dc:language>
</cp:coreProperties>
</file>